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Height="17580"/>
  </bookViews>
  <sheets>
    <sheet name="CRV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<sst xmlns="http://schemas.openxmlformats.org/spreadsheetml/2006/main" count="176" uniqueCount="82">
  <si>
    <t>Reservation ID</t>
  </si>
  <si>
    <t>Guest</t>
  </si>
  <si>
    <t>Vehicle name</t>
  </si>
  <si>
    <t>Trip start</t>
  </si>
  <si>
    <t>Trip end</t>
  </si>
  <si>
    <t>Trip status</t>
  </si>
  <si>
    <t>Check In Odometer</t>
  </si>
  <si>
    <t>Check out Odometer</t>
  </si>
  <si>
    <t>Trip price</t>
  </si>
  <si>
    <t>Boost price</t>
  </si>
  <si>
    <t>3-day discount</t>
  </si>
  <si>
    <t>1-week discount</t>
  </si>
  <si>
    <t>2-week discount</t>
  </si>
  <si>
    <t>3-week discount</t>
  </si>
  <si>
    <t>Non-refundable discount</t>
  </si>
  <si>
    <t>Guest Paid Delivery</t>
  </si>
  <si>
    <t>Excess distance</t>
  </si>
  <si>
    <t>Extras</t>
  </si>
  <si>
    <t>Tolls &amp; tickets</t>
  </si>
  <si>
    <t>Gas reimbursement</t>
  </si>
  <si>
    <t>Gross earnings</t>
  </si>
  <si>
    <t>Delivery</t>
  </si>
  <si>
    <t>Cleaning</t>
  </si>
  <si>
    <t>Management fees</t>
  </si>
  <si>
    <t>Repair</t>
  </si>
  <si>
    <t>Ticket Reimburstment</t>
  </si>
  <si>
    <t>Investor earnings</t>
  </si>
  <si>
    <t>Andrew S.</t>
  </si>
  <si>
    <t>Honda CR-V 2025</t>
  </si>
  <si>
    <t>Completed</t>
  </si>
  <si>
    <t>Shaun A.</t>
  </si>
  <si>
    <t>Jordan P.</t>
  </si>
  <si>
    <t>Guest cancellation</t>
  </si>
  <si>
    <t>Daren B.</t>
  </si>
  <si>
    <t>JEAN-JACQUES L.</t>
  </si>
  <si>
    <t>Jemimah G.</t>
  </si>
  <si>
    <t>William G.</t>
  </si>
  <si>
    <t>Alexandra A.</t>
  </si>
  <si>
    <t>Laray B.</t>
  </si>
  <si>
    <t>Michell L.</t>
  </si>
  <si>
    <t>Naren S.</t>
  </si>
  <si>
    <t>Total</t>
  </si>
  <si>
    <t>Elizabeth M.</t>
  </si>
  <si>
    <t>Skyla C.</t>
  </si>
  <si>
    <t>Carlos C.</t>
  </si>
  <si>
    <t>Tracking Sub</t>
  </si>
  <si>
    <t>William Dong Wook K.</t>
  </si>
  <si>
    <t>Tracking Device</t>
  </si>
  <si>
    <t>Gary L.</t>
  </si>
  <si>
    <t>Renata M.</t>
  </si>
  <si>
    <t>Pablo T.</t>
  </si>
  <si>
    <t>Oil leak cleaning</t>
  </si>
  <si>
    <t>Rebecca T.</t>
  </si>
  <si>
    <t xml:space="preserve">Oil + Filter Change </t>
  </si>
  <si>
    <t>Q1 Total (PAID)</t>
  </si>
  <si>
    <t>Rebecca W.</t>
  </si>
  <si>
    <t>Host cancellation</t>
  </si>
  <si>
    <t>Dirk D.</t>
  </si>
  <si>
    <t>Emily S.</t>
  </si>
  <si>
    <t>Ambrosia O.</t>
  </si>
  <si>
    <t>Madhura C.</t>
  </si>
  <si>
    <t>Joshua M.</t>
  </si>
  <si>
    <t>Annul Inspection</t>
  </si>
  <si>
    <t>Hanna H.</t>
  </si>
  <si>
    <t>Mary F.</t>
  </si>
  <si>
    <t>Safary W.</t>
  </si>
  <si>
    <t>Sharath R.</t>
  </si>
  <si>
    <t>Dale B.</t>
  </si>
  <si>
    <t>Ronald W.</t>
  </si>
  <si>
    <t xml:space="preserve"> Q2 Total (PAID)</t>
  </si>
  <si>
    <t>Jennifer T.</t>
  </si>
  <si>
    <t>Adheesh S.</t>
  </si>
  <si>
    <t>In-progress</t>
  </si>
  <si>
    <t>Greg M.</t>
  </si>
  <si>
    <t>Booked</t>
  </si>
  <si>
    <t>Amy B.</t>
  </si>
  <si>
    <t>Richard H.</t>
  </si>
  <si>
    <t>Matthew S.</t>
  </si>
  <si>
    <t>Virginia D.</t>
  </si>
  <si>
    <t>Anthony N.</t>
  </si>
  <si>
    <t>Daniel W.</t>
  </si>
  <si>
    <t>Noah B.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</si>
</sst>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&quot;$&quot;#,##0.00"/>
    <numFmt numFmtId="179" formatCode="&quot;$&quot;#,##0"/>
  </numFmts>
  <fonts count="31">
    <font>
      <sz val="10"/>
      <color rgb="FF000000"/>
      <name val="Arial"/>
      <charset val="134"/>
      <scheme val="minor"/>
    </font>
    <font>
      <sz val="11"/>
      <color theme="1"/>
      <name val="Calibri"/>
      <charset val="134"/>
    </font>
    <font>
      <b/>
      <sz val="11"/>
      <color rgb="FF34A853"/>
      <name val="Calibri"/>
      <charset val="134"/>
    </font>
    <font>
      <b/>
      <sz val="10"/>
      <color rgb="FF274E13"/>
      <name val="Arial"/>
      <charset val="134"/>
    </font>
    <font>
      <sz val="11"/>
      <color rgb="FF000000"/>
      <name val="Calibri"/>
      <charset val="134"/>
    </font>
    <font>
      <sz val="11"/>
      <color rgb="FFFF0000"/>
      <name val="Calibri"/>
      <charset val="134"/>
    </font>
    <font>
      <b/>
      <sz val="11"/>
      <color rgb="FF6AA84F"/>
      <name val="Calibri"/>
      <charset val="134"/>
    </font>
    <font>
      <sz val="10"/>
      <color theme="1"/>
      <name val="Arial"/>
      <charset val="134"/>
      <scheme val="minor"/>
    </font>
    <font>
      <b/>
      <sz val="10"/>
      <color theme="1"/>
      <name val="Arial"/>
      <charset val="134"/>
      <scheme val="minor"/>
    </font>
    <font>
      <b/>
      <sz val="10"/>
      <color rgb="FF38761D"/>
      <name val="Arial"/>
      <charset val="134"/>
      <scheme val="minor"/>
    </font>
    <font>
      <b/>
      <sz val="11"/>
      <color rgb="FF000000"/>
      <name val="Calibri"/>
      <charset val="134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  <fill>
      <patternFill patternType="solid">
        <fgColor rgb="FFB6D7A8"/>
        <bgColor rgb="FFB6D7A8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177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5" borderId="2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8" fillId="0" borderId="3" applyNumberFormat="0" applyFill="0" applyAlignment="0" applyProtection="0">
      <alignment vertical="center"/>
    </xf>
    <xf numFmtId="0" fontId="19" fillId="0" borderId="4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6" borderId="5" applyNumberFormat="0" applyAlignment="0" applyProtection="0">
      <alignment vertical="center"/>
    </xf>
    <xf numFmtId="0" fontId="21" fillId="7" borderId="6" applyNumberFormat="0" applyAlignment="0" applyProtection="0">
      <alignment vertical="center"/>
    </xf>
    <xf numFmtId="0" fontId="22" fillId="7" borderId="5" applyNumberFormat="0" applyAlignment="0" applyProtection="0">
      <alignment vertical="center"/>
    </xf>
    <xf numFmtId="0" fontId="23" fillId="8" borderId="7" applyNumberFormat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</cellStyleXfs>
  <cellXfs count="43">
    <xf numFmtId="0" fontId="0" fillId="0" borderId="0" xfId="0" applyFont="1" applyAlignment="1"/>
    <xf numFmtId="0" fontId="1" fillId="2" borderId="0" xfId="0" applyFont="1" applyFill="1" applyAlignment="1"/>
    <xf numFmtId="0" fontId="2" fillId="2" borderId="0" xfId="0" applyFont="1" applyFill="1" applyAlignment="1"/>
    <xf numFmtId="0" fontId="3" fillId="2" borderId="0" xfId="0" applyFont="1" applyFill="1" applyAlignment="1"/>
    <xf numFmtId="0" fontId="4" fillId="3" borderId="0" xfId="0" applyFont="1" applyFill="1" applyAlignment="1">
      <alignment horizontal="right"/>
    </xf>
    <xf numFmtId="0" fontId="4" fillId="3" borderId="0" xfId="0" applyFont="1" applyFill="1" applyAlignment="1"/>
    <xf numFmtId="22" fontId="4" fillId="3" borderId="0" xfId="0" applyNumberFormat="1" applyFont="1" applyFill="1" applyAlignment="1">
      <alignment horizontal="right"/>
    </xf>
    <xf numFmtId="178" fontId="4" fillId="3" borderId="0" xfId="0" applyNumberFormat="1" applyFont="1" applyFill="1" applyAlignment="1">
      <alignment horizontal="right"/>
    </xf>
    <xf numFmtId="178" fontId="5" fillId="3" borderId="0" xfId="0" applyNumberFormat="1" applyFont="1" applyFill="1" applyAlignment="1">
      <alignment horizontal="right"/>
    </xf>
    <xf numFmtId="178" fontId="1" fillId="3" borderId="0" xfId="0" applyNumberFormat="1" applyFont="1" applyFill="1" applyAlignment="1">
      <alignment horizontal="right"/>
    </xf>
    <xf numFmtId="178" fontId="6" fillId="3" borderId="0" xfId="0" applyNumberFormat="1" applyFont="1" applyFill="1" applyAlignment="1">
      <alignment horizontal="right"/>
    </xf>
    <xf numFmtId="0" fontId="7" fillId="3" borderId="0" xfId="0" applyFont="1" applyFill="1"/>
    <xf numFmtId="0" fontId="7" fillId="3" borderId="0" xfId="0" applyFont="1" applyFill="1" applyAlignment="1"/>
    <xf numFmtId="0" fontId="8" fillId="3" borderId="1" xfId="0" applyFont="1" applyFill="1" applyBorder="1" applyAlignment="1"/>
    <xf numFmtId="178" fontId="8" fillId="3" borderId="1" xfId="0" applyNumberFormat="1" applyFont="1" applyFill="1" applyBorder="1"/>
    <xf numFmtId="178" fontId="8" fillId="3" borderId="0" xfId="0" applyNumberFormat="1" applyFont="1" applyFill="1"/>
    <xf numFmtId="0" fontId="4" fillId="2" borderId="0" xfId="0" applyFont="1" applyFill="1" applyAlignment="1">
      <alignment horizontal="right"/>
    </xf>
    <xf numFmtId="0" fontId="4" fillId="2" borderId="0" xfId="0" applyFont="1" applyFill="1" applyAlignment="1"/>
    <xf numFmtId="22" fontId="4" fillId="2" borderId="0" xfId="0" applyNumberFormat="1" applyFont="1" applyFill="1" applyAlignment="1">
      <alignment horizontal="right"/>
    </xf>
    <xf numFmtId="178" fontId="4" fillId="2" borderId="0" xfId="0" applyNumberFormat="1" applyFont="1" applyFill="1" applyAlignment="1">
      <alignment horizontal="right"/>
    </xf>
    <xf numFmtId="178" fontId="5" fillId="2" borderId="0" xfId="0" applyNumberFormat="1" applyFont="1" applyFill="1" applyAlignment="1">
      <alignment horizontal="right"/>
    </xf>
    <xf numFmtId="178" fontId="1" fillId="2" borderId="0" xfId="0" applyNumberFormat="1" applyFont="1" applyFill="1" applyAlignment="1">
      <alignment horizontal="right"/>
    </xf>
    <xf numFmtId="178" fontId="6" fillId="2" borderId="0" xfId="0" applyNumberFormat="1" applyFont="1" applyFill="1" applyAlignment="1">
      <alignment horizontal="right"/>
    </xf>
    <xf numFmtId="0" fontId="7" fillId="2" borderId="0" xfId="0" applyFont="1" applyFill="1"/>
    <xf numFmtId="0" fontId="7" fillId="2" borderId="1" xfId="0" applyFont="1" applyFill="1" applyBorder="1" applyAlignment="1"/>
    <xf numFmtId="0" fontId="7" fillId="2" borderId="0" xfId="0" applyFont="1" applyFill="1" applyAlignment="1"/>
    <xf numFmtId="0" fontId="8" fillId="2" borderId="1" xfId="0" applyFont="1" applyFill="1" applyBorder="1" applyAlignment="1"/>
    <xf numFmtId="178" fontId="8" fillId="2" borderId="1" xfId="0" applyNumberFormat="1" applyFont="1" applyFill="1" applyBorder="1"/>
    <xf numFmtId="0" fontId="8" fillId="2" borderId="0" xfId="0" applyFont="1" applyFill="1"/>
    <xf numFmtId="0" fontId="7" fillId="3" borderId="1" xfId="0" applyFont="1" applyFill="1" applyBorder="1" applyAlignment="1"/>
    <xf numFmtId="0" fontId="9" fillId="4" borderId="1" xfId="0" applyFont="1" applyFill="1" applyBorder="1" applyAlignment="1">
      <alignment horizontal="center"/>
    </xf>
    <xf numFmtId="178" fontId="9" fillId="4" borderId="1" xfId="0" applyNumberFormat="1" applyFont="1" applyFill="1" applyBorder="1" applyAlignment="1">
      <alignment horizontal="center"/>
    </xf>
    <xf numFmtId="179" fontId="8" fillId="2" borderId="1" xfId="0" applyNumberFormat="1" applyFont="1" applyFill="1" applyBorder="1" applyAlignment="1"/>
    <xf numFmtId="179" fontId="8" fillId="2" borderId="0" xfId="0" applyNumberFormat="1" applyFont="1" applyFill="1" applyAlignment="1"/>
    <xf numFmtId="0" fontId="4" fillId="0" borderId="0" xfId="0" applyFont="1" applyAlignment="1">
      <alignment horizontal="right"/>
    </xf>
    <xf numFmtId="0" fontId="4" fillId="0" borderId="0" xfId="0" applyFont="1" applyAlignment="1"/>
    <xf numFmtId="22" fontId="4" fillId="0" borderId="0" xfId="0" applyNumberFormat="1" applyFont="1" applyAlignment="1">
      <alignment horizontal="right"/>
    </xf>
    <xf numFmtId="178" fontId="4" fillId="0" borderId="0" xfId="0" applyNumberFormat="1" applyFont="1" applyAlignment="1">
      <alignment horizontal="right"/>
    </xf>
    <xf numFmtId="178" fontId="5" fillId="0" borderId="0" xfId="0" applyNumberFormat="1" applyFont="1" applyAlignment="1">
      <alignment horizontal="right"/>
    </xf>
    <xf numFmtId="0" fontId="8" fillId="3" borderId="0" xfId="0" applyFont="1" applyFill="1"/>
    <xf numFmtId="178" fontId="10" fillId="2" borderId="1" xfId="0" applyNumberFormat="1" applyFont="1" applyFill="1" applyBorder="1" applyAlignment="1">
      <alignment horizontal="right"/>
    </xf>
    <xf numFmtId="178" fontId="7" fillId="2" borderId="1" xfId="0" applyNumberFormat="1" applyFont="1" applyFill="1" applyBorder="1"/>
    <xf numFmtId="179" fontId="9" fillId="4" borderId="1" xfId="0" applyNumberFormat="1" applyFont="1" applyFill="1" applyBorder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AD45"/>
  <sheetViews>
    <sheetView tabSelected="1" workbookViewId="0">
      <selection activeCell="A1" sqref="A1"/>
    </sheetView>
  </sheetViews>
  <sheetFormatPr defaultColWidth="12.6285714285714" defaultRowHeight="15.75" customHeight="1"/>
  <cols>
    <col min="1" max="1" width="16.8761904761905" customWidth="1"/>
    <col min="2" max="2" width="21" customWidth="1"/>
    <col min="3" max="3" width="17.3809523809524" customWidth="1"/>
    <col min="4" max="4" width="19.6285714285714" customWidth="1"/>
    <col min="5" max="5" width="26.247619047619" customWidth="1"/>
    <col min="6" max="6" width="18.247619047619" customWidth="1"/>
    <col min="7" max="7" width="19.752380952381" customWidth="1"/>
    <col min="8" max="8" width="16.6285714285714" customWidth="1"/>
    <col min="12" max="12" width="14.1333333333333" customWidth="1"/>
    <col min="13" max="13" width="16.6285714285714" customWidth="1"/>
    <col min="14" max="14" width="17" customWidth="1"/>
    <col min="15" max="15" width="20.3809523809524" customWidth="1"/>
    <col min="16" max="16" width="16" customWidth="1"/>
    <col min="17" max="17" width="13.6285714285714" customWidth="1"/>
    <col min="20" max="20" width="16.247619047619" customWidth="1"/>
    <col min="21" max="21" width="15.247619047619" customWidth="1"/>
    <col min="22" max="22" width="11.5047619047619" customWidth="1"/>
    <col min="23" max="23" width="11" customWidth="1"/>
    <col min="24" max="24" width="20.752380952381" customWidth="1"/>
    <col min="25" max="25" width="11.247619047619" customWidth="1"/>
    <col min="26" max="26" width="18.247619047619" customWidth="1"/>
    <col min="27" max="27" width="15.247619047619" customWidth="1"/>
    <col min="28" max="28" width="16.6285714285714" customWidth="1"/>
    <col min="29" max="30" width="14.752380952381" customWidth="1"/>
  </cols>
  <sheetData>
    <row r="1" customHeight="1" spans="1: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2" t="s">
        <v>26</v>
      </c>
      <c r="AB1" s="2"/>
      <c r="AC1" s="3"/>
      <c r="AD1" s="3"/>
    </row>
    <row r="2" customHeight="1" spans="1:30">
      <c r="A2" s="4">
        <v>51109624</v>
      </c>
      <c r="B2" s="5" t="s">
        <v>27</v>
      </c>
      <c r="C2" s="5" t="s">
        <v>28</v>
      </c>
      <c r="D2" s="6">
        <v>46017.4375</v>
      </c>
      <c r="E2" s="6">
        <v>46023.5</v>
      </c>
      <c r="F2" s="5" t="s">
        <v>29</v>
      </c>
      <c r="G2" s="4">
        <v>19814</v>
      </c>
      <c r="H2" s="5">
        <v>20624</v>
      </c>
      <c r="I2" s="7">
        <v>432</v>
      </c>
      <c r="J2" s="7">
        <v>0</v>
      </c>
      <c r="K2" s="7">
        <v>0</v>
      </c>
      <c r="L2" s="8">
        <v>-43.2</v>
      </c>
      <c r="M2" s="7">
        <v>0</v>
      </c>
      <c r="N2" s="7">
        <v>0</v>
      </c>
      <c r="O2" s="7">
        <v>0</v>
      </c>
      <c r="P2" s="7">
        <v>0</v>
      </c>
      <c r="Q2" s="7">
        <v>0</v>
      </c>
      <c r="R2" s="7">
        <v>0</v>
      </c>
      <c r="S2" s="7">
        <v>0</v>
      </c>
      <c r="T2" s="7">
        <v>0</v>
      </c>
      <c r="U2" s="7">
        <v>388.8</v>
      </c>
      <c r="V2" s="9">
        <v>20</v>
      </c>
      <c r="W2" s="9">
        <v>10</v>
      </c>
      <c r="X2" s="9">
        <f t="shared" ref="X2:X40" si="0">(U2-T2-S2-R2-P2)*0.3</f>
        <v>116.64</v>
      </c>
      <c r="Y2" s="9"/>
      <c r="Z2" s="9"/>
      <c r="AA2" s="10">
        <f t="shared" ref="AA2:AA40" si="1">U2-(X2+W2+V2+T2+S2+R2+P2+Y2)+Z2</f>
        <v>242.16</v>
      </c>
      <c r="AB2" s="10"/>
      <c r="AC2" s="11"/>
      <c r="AD2" s="11"/>
    </row>
    <row r="3" customHeight="1" spans="1:30">
      <c r="A3" s="4">
        <v>51448194</v>
      </c>
      <c r="B3" s="5" t="s">
        <v>30</v>
      </c>
      <c r="C3" s="5" t="s">
        <v>28</v>
      </c>
      <c r="D3" s="6">
        <v>46025.3125</v>
      </c>
      <c r="E3" s="6">
        <v>46027.8125</v>
      </c>
      <c r="F3" s="5" t="s">
        <v>29</v>
      </c>
      <c r="G3" s="4">
        <v>20624</v>
      </c>
      <c r="H3" s="4">
        <v>20764</v>
      </c>
      <c r="I3" s="7">
        <v>138.6</v>
      </c>
      <c r="J3" s="7">
        <v>0</v>
      </c>
      <c r="K3" s="8">
        <v>-13.86</v>
      </c>
      <c r="L3" s="7">
        <v>0</v>
      </c>
      <c r="M3" s="7">
        <v>0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7">
        <v>4.5</v>
      </c>
      <c r="T3" s="7">
        <v>32.18</v>
      </c>
      <c r="U3" s="7">
        <v>161.42</v>
      </c>
      <c r="V3" s="9">
        <v>20</v>
      </c>
      <c r="W3" s="9">
        <v>10</v>
      </c>
      <c r="X3" s="9">
        <f t="shared" si="0"/>
        <v>37.422</v>
      </c>
      <c r="Y3" s="9"/>
      <c r="Z3" s="9"/>
      <c r="AA3" s="10">
        <f t="shared" si="1"/>
        <v>57.318</v>
      </c>
      <c r="AB3" s="10"/>
      <c r="AC3" s="11"/>
      <c r="AD3" s="11"/>
    </row>
    <row r="4" customHeight="1" spans="1:30">
      <c r="A4" s="4">
        <v>52037133</v>
      </c>
      <c r="B4" s="5" t="s">
        <v>31</v>
      </c>
      <c r="C4" s="5" t="s">
        <v>28</v>
      </c>
      <c r="D4" s="6">
        <v>46029.7708333333</v>
      </c>
      <c r="E4" s="6">
        <v>46033.7708333333</v>
      </c>
      <c r="F4" s="5" t="s">
        <v>32</v>
      </c>
      <c r="G4" s="5"/>
      <c r="H4" s="5"/>
      <c r="I4" s="7">
        <v>0</v>
      </c>
      <c r="J4" s="7">
        <v>0</v>
      </c>
      <c r="K4" s="7">
        <v>0</v>
      </c>
      <c r="L4" s="7">
        <v>0</v>
      </c>
      <c r="M4" s="7">
        <v>0</v>
      </c>
      <c r="N4" s="7">
        <v>0</v>
      </c>
      <c r="O4" s="7">
        <v>0</v>
      </c>
      <c r="P4" s="7">
        <v>0</v>
      </c>
      <c r="Q4" s="7">
        <v>0</v>
      </c>
      <c r="R4" s="7">
        <v>0</v>
      </c>
      <c r="S4" s="7">
        <v>0</v>
      </c>
      <c r="T4" s="7">
        <v>0</v>
      </c>
      <c r="U4" s="7">
        <v>0</v>
      </c>
      <c r="V4" s="9">
        <v>0</v>
      </c>
      <c r="W4" s="9">
        <v>0</v>
      </c>
      <c r="X4" s="9">
        <f t="shared" si="0"/>
        <v>0</v>
      </c>
      <c r="Y4" s="9"/>
      <c r="Z4" s="9"/>
      <c r="AA4" s="10">
        <f t="shared" si="1"/>
        <v>0</v>
      </c>
      <c r="AB4" s="10"/>
      <c r="AC4" s="11"/>
      <c r="AD4" s="11"/>
    </row>
    <row r="5" customHeight="1" spans="1:30">
      <c r="A5" s="4">
        <v>52639319</v>
      </c>
      <c r="B5" s="5" t="s">
        <v>33</v>
      </c>
      <c r="C5" s="5" t="s">
        <v>28</v>
      </c>
      <c r="D5" s="6">
        <v>46031.7708333333</v>
      </c>
      <c r="E5" s="6">
        <v>46033.7708333333</v>
      </c>
      <c r="F5" s="5" t="s">
        <v>29</v>
      </c>
      <c r="G5" s="4">
        <v>20771</v>
      </c>
      <c r="H5" s="4">
        <v>20955</v>
      </c>
      <c r="I5" s="7">
        <v>89.1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27</v>
      </c>
      <c r="Q5" s="7">
        <v>0</v>
      </c>
      <c r="R5" s="7">
        <v>0</v>
      </c>
      <c r="S5" s="7">
        <v>0</v>
      </c>
      <c r="T5" s="7">
        <v>0</v>
      </c>
      <c r="U5" s="7">
        <v>116.1</v>
      </c>
      <c r="V5" s="9">
        <v>20</v>
      </c>
      <c r="W5" s="9">
        <v>10</v>
      </c>
      <c r="X5" s="9">
        <f t="shared" si="0"/>
        <v>26.73</v>
      </c>
      <c r="Y5" s="9"/>
      <c r="Z5" s="9"/>
      <c r="AA5" s="10">
        <f t="shared" si="1"/>
        <v>32.37</v>
      </c>
      <c r="AB5" s="10"/>
      <c r="AC5" s="11"/>
      <c r="AD5" s="11"/>
    </row>
    <row r="6" customHeight="1" spans="1:30">
      <c r="A6" s="4">
        <v>50815692</v>
      </c>
      <c r="B6" s="5" t="s">
        <v>34</v>
      </c>
      <c r="C6" s="5" t="s">
        <v>28</v>
      </c>
      <c r="D6" s="6">
        <v>46036.7916666667</v>
      </c>
      <c r="E6" s="6">
        <v>46042.4583333333</v>
      </c>
      <c r="F6" s="5" t="s">
        <v>32</v>
      </c>
      <c r="G6" s="5"/>
      <c r="H6" s="5"/>
      <c r="I6" s="7">
        <v>0</v>
      </c>
      <c r="J6" s="7">
        <v>0</v>
      </c>
      <c r="K6" s="7">
        <v>0</v>
      </c>
      <c r="L6" s="7">
        <v>0</v>
      </c>
      <c r="M6" s="7">
        <v>0</v>
      </c>
      <c r="N6" s="7">
        <v>0</v>
      </c>
      <c r="O6" s="7">
        <v>0</v>
      </c>
      <c r="P6" s="7">
        <v>0</v>
      </c>
      <c r="Q6" s="7">
        <v>0</v>
      </c>
      <c r="R6" s="7">
        <v>0</v>
      </c>
      <c r="S6" s="7">
        <v>0</v>
      </c>
      <c r="T6" s="7">
        <v>0</v>
      </c>
      <c r="U6" s="7">
        <v>0</v>
      </c>
      <c r="V6" s="9">
        <v>0</v>
      </c>
      <c r="W6" s="9">
        <v>0</v>
      </c>
      <c r="X6" s="9">
        <f t="shared" si="0"/>
        <v>0</v>
      </c>
      <c r="Y6" s="9"/>
      <c r="Z6" s="9"/>
      <c r="AA6" s="10">
        <f t="shared" si="1"/>
        <v>0</v>
      </c>
      <c r="AB6" s="10"/>
      <c r="AC6" s="11"/>
      <c r="AD6" s="11"/>
    </row>
    <row r="7" customHeight="1" spans="1:30">
      <c r="A7" s="4">
        <v>51104930</v>
      </c>
      <c r="B7" s="5" t="s">
        <v>34</v>
      </c>
      <c r="C7" s="5" t="s">
        <v>28</v>
      </c>
      <c r="D7" s="6">
        <v>46036.7916666667</v>
      </c>
      <c r="E7" s="6">
        <v>46042.5</v>
      </c>
      <c r="F7" s="5" t="s">
        <v>32</v>
      </c>
      <c r="G7" s="5"/>
      <c r="H7" s="5"/>
      <c r="I7" s="7">
        <v>0</v>
      </c>
      <c r="J7" s="7">
        <v>0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7">
        <v>0</v>
      </c>
      <c r="T7" s="7">
        <v>0</v>
      </c>
      <c r="U7" s="7">
        <v>0</v>
      </c>
      <c r="V7" s="9">
        <v>0</v>
      </c>
      <c r="W7" s="9">
        <v>0</v>
      </c>
      <c r="X7" s="9">
        <f t="shared" si="0"/>
        <v>0</v>
      </c>
      <c r="Y7" s="9"/>
      <c r="Z7" s="9"/>
      <c r="AA7" s="10">
        <f t="shared" si="1"/>
        <v>0</v>
      </c>
      <c r="AB7" s="10"/>
      <c r="AC7" s="11"/>
      <c r="AD7" s="11"/>
    </row>
    <row r="8" customHeight="1" spans="1:30">
      <c r="A8" s="4">
        <v>52812744</v>
      </c>
      <c r="B8" s="5" t="s">
        <v>35</v>
      </c>
      <c r="C8" s="5" t="s">
        <v>28</v>
      </c>
      <c r="D8" s="6">
        <v>46037.875</v>
      </c>
      <c r="E8" s="6">
        <v>46040.5</v>
      </c>
      <c r="F8" s="5" t="s">
        <v>29</v>
      </c>
      <c r="G8" s="4">
        <v>20962</v>
      </c>
      <c r="H8" s="4">
        <v>21079</v>
      </c>
      <c r="I8" s="7">
        <v>130.5</v>
      </c>
      <c r="J8" s="7">
        <v>0</v>
      </c>
      <c r="K8" s="8">
        <v>-13.05</v>
      </c>
      <c r="L8" s="7">
        <v>0</v>
      </c>
      <c r="M8" s="7">
        <v>0</v>
      </c>
      <c r="N8" s="7">
        <v>0</v>
      </c>
      <c r="O8" s="7">
        <v>0</v>
      </c>
      <c r="P8" s="7">
        <v>27</v>
      </c>
      <c r="Q8" s="7">
        <v>0</v>
      </c>
      <c r="R8" s="7">
        <v>0</v>
      </c>
      <c r="S8" s="7">
        <v>0</v>
      </c>
      <c r="T8" s="7">
        <v>0</v>
      </c>
      <c r="U8" s="7">
        <v>117.45</v>
      </c>
      <c r="V8" s="9">
        <v>20</v>
      </c>
      <c r="W8" s="9">
        <v>10</v>
      </c>
      <c r="X8" s="9">
        <f t="shared" si="0"/>
        <v>27.135</v>
      </c>
      <c r="Y8" s="9"/>
      <c r="Z8" s="9"/>
      <c r="AA8" s="10">
        <f t="shared" si="1"/>
        <v>33.315</v>
      </c>
      <c r="AB8" s="10"/>
      <c r="AC8" s="11"/>
      <c r="AD8" s="11"/>
    </row>
    <row r="9" customHeight="1" spans="1:30">
      <c r="A9" s="4">
        <v>52321680</v>
      </c>
      <c r="B9" s="5" t="s">
        <v>36</v>
      </c>
      <c r="C9" s="5" t="s">
        <v>28</v>
      </c>
      <c r="D9" s="6">
        <v>46041.4375</v>
      </c>
      <c r="E9" s="6">
        <v>46043.875</v>
      </c>
      <c r="F9" s="5" t="s">
        <v>29</v>
      </c>
      <c r="G9" s="4">
        <v>21147</v>
      </c>
      <c r="H9" s="4">
        <v>21451</v>
      </c>
      <c r="I9" s="7">
        <v>120.6</v>
      </c>
      <c r="J9" s="7">
        <v>0</v>
      </c>
      <c r="K9" s="8">
        <v>-12.06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7">
        <v>0</v>
      </c>
      <c r="T9" s="7">
        <v>0</v>
      </c>
      <c r="U9" s="7">
        <v>108.54</v>
      </c>
      <c r="V9" s="9">
        <v>20</v>
      </c>
      <c r="W9" s="9">
        <v>10</v>
      </c>
      <c r="X9" s="9">
        <f t="shared" si="0"/>
        <v>32.562</v>
      </c>
      <c r="Y9" s="9"/>
      <c r="Z9" s="9"/>
      <c r="AA9" s="10">
        <f t="shared" si="1"/>
        <v>45.978</v>
      </c>
      <c r="AB9" s="10"/>
      <c r="AC9" s="11"/>
      <c r="AD9" s="11"/>
    </row>
    <row r="10" customHeight="1" spans="1:30">
      <c r="A10" s="4">
        <v>52380930</v>
      </c>
      <c r="B10" s="5" t="s">
        <v>37</v>
      </c>
      <c r="C10" s="5" t="s">
        <v>28</v>
      </c>
      <c r="D10" s="6">
        <v>46045.4583333333</v>
      </c>
      <c r="E10" s="6">
        <v>46047.7083333333</v>
      </c>
      <c r="F10" s="5" t="s">
        <v>32</v>
      </c>
      <c r="G10" s="5"/>
      <c r="H10" s="5"/>
      <c r="I10" s="7">
        <v>0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9">
        <v>0</v>
      </c>
      <c r="W10" s="9">
        <v>0</v>
      </c>
      <c r="X10" s="9">
        <f t="shared" si="0"/>
        <v>0</v>
      </c>
      <c r="Y10" s="9"/>
      <c r="Z10" s="9"/>
      <c r="AA10" s="10">
        <f t="shared" si="1"/>
        <v>0</v>
      </c>
      <c r="AB10" s="10"/>
      <c r="AC10" s="11"/>
      <c r="AD10" s="11"/>
    </row>
    <row r="11" customHeight="1" spans="1:30">
      <c r="A11" s="4">
        <v>52734073</v>
      </c>
      <c r="B11" s="5" t="s">
        <v>38</v>
      </c>
      <c r="C11" s="5" t="s">
        <v>28</v>
      </c>
      <c r="D11" s="6">
        <v>46045.4583333333</v>
      </c>
      <c r="E11" s="6">
        <v>46047.7083333333</v>
      </c>
      <c r="F11" s="5" t="s">
        <v>29</v>
      </c>
      <c r="G11" s="4">
        <v>21491</v>
      </c>
      <c r="H11" s="5">
        <v>21674</v>
      </c>
      <c r="I11" s="7">
        <v>132.3</v>
      </c>
      <c r="J11" s="7">
        <v>0</v>
      </c>
      <c r="K11" s="8">
        <v>-13.23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119.07</v>
      </c>
      <c r="V11" s="9">
        <v>20</v>
      </c>
      <c r="W11" s="9">
        <v>10</v>
      </c>
      <c r="X11" s="9">
        <f t="shared" si="0"/>
        <v>35.721</v>
      </c>
      <c r="Y11" s="9"/>
      <c r="Z11" s="9"/>
      <c r="AA11" s="10">
        <f t="shared" si="1"/>
        <v>53.349</v>
      </c>
      <c r="AB11" s="10"/>
      <c r="AC11" s="11"/>
      <c r="AD11" s="11"/>
    </row>
    <row r="12" customHeight="1" spans="1:30">
      <c r="A12" s="4">
        <v>53406779</v>
      </c>
      <c r="B12" s="5" t="s">
        <v>39</v>
      </c>
      <c r="C12" s="5" t="s">
        <v>28</v>
      </c>
      <c r="D12" s="6">
        <v>46048.5416666667</v>
      </c>
      <c r="E12" s="6">
        <v>46052.4166666667</v>
      </c>
      <c r="F12" s="5" t="s">
        <v>29</v>
      </c>
      <c r="G12" s="4">
        <v>21674</v>
      </c>
      <c r="H12" s="4">
        <v>22074</v>
      </c>
      <c r="I12" s="7">
        <v>162</v>
      </c>
      <c r="J12" s="7">
        <v>0</v>
      </c>
      <c r="K12" s="8">
        <v>-16.2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145.8</v>
      </c>
      <c r="V12" s="9">
        <v>20</v>
      </c>
      <c r="W12" s="9">
        <v>10</v>
      </c>
      <c r="X12" s="9">
        <f t="shared" si="0"/>
        <v>43.74</v>
      </c>
      <c r="Y12" s="9"/>
      <c r="Z12" s="9"/>
      <c r="AA12" s="10">
        <f t="shared" si="1"/>
        <v>72.06</v>
      </c>
      <c r="AB12" s="10"/>
      <c r="AC12" s="11"/>
      <c r="AD12" s="11"/>
    </row>
    <row r="13" customHeight="1" spans="1:30">
      <c r="A13" s="4">
        <v>53097477</v>
      </c>
      <c r="B13" s="5" t="s">
        <v>40</v>
      </c>
      <c r="C13" s="5" t="s">
        <v>28</v>
      </c>
      <c r="D13" s="6">
        <v>46049.5416666667</v>
      </c>
      <c r="E13" s="6">
        <v>46052.5416666667</v>
      </c>
      <c r="F13" s="5" t="s">
        <v>32</v>
      </c>
      <c r="G13" s="5"/>
      <c r="H13" s="5"/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9">
        <v>0</v>
      </c>
      <c r="W13" s="9">
        <v>0</v>
      </c>
      <c r="X13" s="9">
        <f t="shared" si="0"/>
        <v>0</v>
      </c>
      <c r="Y13" s="9"/>
      <c r="Z13" s="9"/>
      <c r="AA13" s="10">
        <f t="shared" si="1"/>
        <v>0</v>
      </c>
      <c r="AB13" s="10"/>
      <c r="AC13" s="12"/>
      <c r="AD13" s="12"/>
    </row>
    <row r="14" customHeight="1" spans="1:30">
      <c r="A14" s="4">
        <v>53234358</v>
      </c>
      <c r="B14" s="5" t="s">
        <v>40</v>
      </c>
      <c r="C14" s="5" t="s">
        <v>28</v>
      </c>
      <c r="D14" s="6">
        <v>46049.5416666667</v>
      </c>
      <c r="E14" s="6">
        <v>46052.5416666667</v>
      </c>
      <c r="F14" s="5" t="s">
        <v>32</v>
      </c>
      <c r="G14" s="5"/>
      <c r="H14" s="5"/>
      <c r="I14" s="7">
        <v>0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9">
        <v>0</v>
      </c>
      <c r="W14" s="9">
        <v>0</v>
      </c>
      <c r="X14" s="9">
        <f t="shared" si="0"/>
        <v>0</v>
      </c>
      <c r="Y14" s="9"/>
      <c r="Z14" s="9"/>
      <c r="AA14" s="10">
        <f t="shared" si="1"/>
        <v>0</v>
      </c>
      <c r="AB14" s="13" t="s">
        <v>41</v>
      </c>
      <c r="AC14" s="14">
        <f>SUM(AA2:AA14)</f>
        <v>536.55</v>
      </c>
      <c r="AD14" s="15"/>
    </row>
    <row r="15" customHeight="1" spans="1:30">
      <c r="A15" s="16">
        <v>53646541</v>
      </c>
      <c r="B15" s="17" t="s">
        <v>42</v>
      </c>
      <c r="C15" s="17" t="s">
        <v>28</v>
      </c>
      <c r="D15" s="18">
        <v>46053.625</v>
      </c>
      <c r="E15" s="18">
        <v>46057.375</v>
      </c>
      <c r="F15" s="17" t="s">
        <v>29</v>
      </c>
      <c r="G15" s="16">
        <v>22117</v>
      </c>
      <c r="H15" s="16">
        <v>22308</v>
      </c>
      <c r="I15" s="19">
        <v>138.6</v>
      </c>
      <c r="J15" s="19">
        <v>0</v>
      </c>
      <c r="K15" s="20">
        <v>-13.86</v>
      </c>
      <c r="L15" s="19">
        <v>0</v>
      </c>
      <c r="M15" s="19">
        <v>0</v>
      </c>
      <c r="N15" s="19">
        <v>0</v>
      </c>
      <c r="O15" s="19">
        <v>0</v>
      </c>
      <c r="P15" s="19">
        <v>0</v>
      </c>
      <c r="Q15" s="19">
        <v>0</v>
      </c>
      <c r="R15" s="19">
        <v>0</v>
      </c>
      <c r="S15" s="19">
        <v>0</v>
      </c>
      <c r="T15" s="19">
        <v>0</v>
      </c>
      <c r="U15" s="19">
        <v>124.74</v>
      </c>
      <c r="V15" s="21">
        <v>20</v>
      </c>
      <c r="W15" s="21">
        <v>10</v>
      </c>
      <c r="X15" s="21">
        <f t="shared" si="0"/>
        <v>37.422</v>
      </c>
      <c r="Y15" s="21"/>
      <c r="Z15" s="21"/>
      <c r="AA15" s="22">
        <f t="shared" si="1"/>
        <v>57.318</v>
      </c>
      <c r="AB15" s="23"/>
      <c r="AC15" s="23"/>
      <c r="AD15" s="23"/>
    </row>
    <row r="16" customHeight="1" spans="1:30">
      <c r="A16" s="16">
        <v>52904615</v>
      </c>
      <c r="B16" s="17" t="s">
        <v>43</v>
      </c>
      <c r="C16" s="17" t="s">
        <v>28</v>
      </c>
      <c r="D16" s="18">
        <v>46059.4583333333</v>
      </c>
      <c r="E16" s="18">
        <v>46062.3125</v>
      </c>
      <c r="F16" s="17" t="s">
        <v>29</v>
      </c>
      <c r="G16" s="16">
        <v>22342</v>
      </c>
      <c r="H16" s="16">
        <v>22569</v>
      </c>
      <c r="I16" s="19">
        <v>149.4</v>
      </c>
      <c r="J16" s="19">
        <v>0</v>
      </c>
      <c r="K16" s="20">
        <v>-14.94</v>
      </c>
      <c r="L16" s="19">
        <v>0</v>
      </c>
      <c r="M16" s="19">
        <v>0</v>
      </c>
      <c r="N16" s="19">
        <v>0</v>
      </c>
      <c r="O16" s="19">
        <v>0</v>
      </c>
      <c r="P16" s="19">
        <v>0</v>
      </c>
      <c r="Q16" s="19">
        <v>0</v>
      </c>
      <c r="R16" s="19">
        <v>0</v>
      </c>
      <c r="S16" s="19">
        <v>1.25</v>
      </c>
      <c r="T16" s="19">
        <v>0</v>
      </c>
      <c r="U16" s="19">
        <v>135.71</v>
      </c>
      <c r="V16" s="21">
        <v>20</v>
      </c>
      <c r="W16" s="21">
        <v>10</v>
      </c>
      <c r="X16" s="21">
        <f t="shared" si="0"/>
        <v>40.338</v>
      </c>
      <c r="Y16" s="21"/>
      <c r="Z16" s="21"/>
      <c r="AA16" s="22">
        <f t="shared" si="1"/>
        <v>64.122</v>
      </c>
      <c r="AB16" s="23"/>
      <c r="AC16" s="23"/>
      <c r="AD16" s="23"/>
    </row>
    <row r="17" customHeight="1" spans="1:30">
      <c r="A17" s="16">
        <v>53410147</v>
      </c>
      <c r="B17" s="17" t="s">
        <v>44</v>
      </c>
      <c r="C17" s="17" t="s">
        <v>28</v>
      </c>
      <c r="D17" s="18">
        <v>46066.9583333333</v>
      </c>
      <c r="E17" s="18">
        <v>46070.2916666667</v>
      </c>
      <c r="F17" s="17" t="s">
        <v>29</v>
      </c>
      <c r="G17" s="16">
        <v>22575</v>
      </c>
      <c r="H17" s="17">
        <v>23560</v>
      </c>
      <c r="I17" s="19">
        <v>207.9</v>
      </c>
      <c r="J17" s="19">
        <v>0</v>
      </c>
      <c r="K17" s="20">
        <v>-20.79</v>
      </c>
      <c r="L17" s="19">
        <v>0</v>
      </c>
      <c r="M17" s="19">
        <v>0</v>
      </c>
      <c r="N17" s="19">
        <v>0</v>
      </c>
      <c r="O17" s="20">
        <v>-20.79</v>
      </c>
      <c r="P17" s="19">
        <v>0</v>
      </c>
      <c r="Q17" s="19">
        <v>0</v>
      </c>
      <c r="R17" s="19">
        <v>0</v>
      </c>
      <c r="S17" s="19">
        <v>0</v>
      </c>
      <c r="T17" s="19">
        <v>0</v>
      </c>
      <c r="U17" s="19">
        <v>166.32</v>
      </c>
      <c r="V17" s="21">
        <v>20</v>
      </c>
      <c r="W17" s="21">
        <v>10</v>
      </c>
      <c r="X17" s="21">
        <f t="shared" si="0"/>
        <v>49.896</v>
      </c>
      <c r="Y17" s="21"/>
      <c r="Z17" s="21"/>
      <c r="AA17" s="22">
        <f t="shared" si="1"/>
        <v>86.424</v>
      </c>
      <c r="AB17" s="24" t="s">
        <v>45</v>
      </c>
      <c r="AC17" s="24">
        <v>8.35</v>
      </c>
      <c r="AD17" s="25"/>
    </row>
    <row r="18" customHeight="1" spans="1:30">
      <c r="A18" s="16">
        <v>52600109</v>
      </c>
      <c r="B18" s="17" t="s">
        <v>46</v>
      </c>
      <c r="C18" s="17" t="s">
        <v>28</v>
      </c>
      <c r="D18" s="18">
        <v>46071.4375</v>
      </c>
      <c r="E18" s="18">
        <v>46076.625</v>
      </c>
      <c r="F18" s="17" t="s">
        <v>29</v>
      </c>
      <c r="G18" s="16">
        <v>23560</v>
      </c>
      <c r="H18" s="16">
        <v>23929</v>
      </c>
      <c r="I18" s="19">
        <v>280.8</v>
      </c>
      <c r="J18" s="19">
        <v>0</v>
      </c>
      <c r="K18" s="20">
        <v>-28.08</v>
      </c>
      <c r="L18" s="19">
        <v>0</v>
      </c>
      <c r="M18" s="19">
        <v>0</v>
      </c>
      <c r="N18" s="19">
        <v>0</v>
      </c>
      <c r="O18" s="19">
        <v>0</v>
      </c>
      <c r="P18" s="19">
        <v>0</v>
      </c>
      <c r="Q18" s="19">
        <v>0</v>
      </c>
      <c r="R18" s="19">
        <v>27</v>
      </c>
      <c r="S18" s="19">
        <v>0</v>
      </c>
      <c r="T18" s="19">
        <v>0</v>
      </c>
      <c r="U18" s="19">
        <v>279.72</v>
      </c>
      <c r="V18" s="21">
        <v>20</v>
      </c>
      <c r="W18" s="21">
        <v>10</v>
      </c>
      <c r="X18" s="21">
        <f t="shared" si="0"/>
        <v>75.816</v>
      </c>
      <c r="Y18" s="21"/>
      <c r="Z18" s="21"/>
      <c r="AA18" s="22">
        <f t="shared" si="1"/>
        <v>146.904</v>
      </c>
      <c r="AB18" s="24" t="s">
        <v>47</v>
      </c>
      <c r="AC18" s="24">
        <v>99.44</v>
      </c>
      <c r="AD18" s="25"/>
    </row>
    <row r="19" customHeight="1" spans="1:30">
      <c r="A19" s="16">
        <v>47612193</v>
      </c>
      <c r="B19" s="17" t="s">
        <v>48</v>
      </c>
      <c r="C19" s="17" t="s">
        <v>28</v>
      </c>
      <c r="D19" s="18">
        <v>46080.625</v>
      </c>
      <c r="E19" s="18">
        <v>46094.6666666667</v>
      </c>
      <c r="F19" s="17" t="s">
        <v>29</v>
      </c>
      <c r="G19" s="16">
        <v>23997</v>
      </c>
      <c r="H19" s="16">
        <v>24866</v>
      </c>
      <c r="I19" s="19">
        <v>771.3</v>
      </c>
      <c r="J19" s="19">
        <v>0</v>
      </c>
      <c r="K19" s="19">
        <v>0</v>
      </c>
      <c r="L19" s="19">
        <v>0</v>
      </c>
      <c r="M19" s="20">
        <v>-154.26</v>
      </c>
      <c r="N19" s="19">
        <v>0</v>
      </c>
      <c r="O19" s="19">
        <v>0</v>
      </c>
      <c r="P19" s="19">
        <v>27</v>
      </c>
      <c r="Q19" s="19">
        <v>0</v>
      </c>
      <c r="R19" s="19">
        <v>0</v>
      </c>
      <c r="S19" s="19">
        <v>296.8</v>
      </c>
      <c r="T19" s="19">
        <v>0</v>
      </c>
      <c r="U19" s="19">
        <v>940.84</v>
      </c>
      <c r="V19" s="21">
        <v>20</v>
      </c>
      <c r="W19" s="21">
        <v>10</v>
      </c>
      <c r="X19" s="21">
        <f t="shared" si="0"/>
        <v>185.112</v>
      </c>
      <c r="Y19" s="21"/>
      <c r="Z19" s="21">
        <v>294</v>
      </c>
      <c r="AA19" s="22">
        <f t="shared" si="1"/>
        <v>695.928</v>
      </c>
      <c r="AB19" s="26" t="s">
        <v>41</v>
      </c>
      <c r="AC19" s="27">
        <f>SUM(AA15:AA19)-SUM(AC17:AC18)</f>
        <v>942.906</v>
      </c>
      <c r="AD19" s="28"/>
    </row>
    <row r="20" customHeight="1" spans="1:30">
      <c r="A20" s="4">
        <v>55101055</v>
      </c>
      <c r="B20" s="5" t="s">
        <v>49</v>
      </c>
      <c r="C20" s="5" t="s">
        <v>28</v>
      </c>
      <c r="D20" s="6">
        <v>46095.375</v>
      </c>
      <c r="E20" s="6">
        <v>46098.7291666667</v>
      </c>
      <c r="F20" s="5" t="s">
        <v>29</v>
      </c>
      <c r="G20" s="4">
        <v>24875</v>
      </c>
      <c r="H20" s="5">
        <v>25142</v>
      </c>
      <c r="I20" s="7">
        <v>206.1</v>
      </c>
      <c r="J20" s="7">
        <v>0</v>
      </c>
      <c r="K20" s="8">
        <v>-10.3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7">
        <v>195.8</v>
      </c>
      <c r="V20" s="9">
        <v>20</v>
      </c>
      <c r="W20" s="9">
        <v>10</v>
      </c>
      <c r="X20" s="9">
        <f t="shared" si="0"/>
        <v>58.74</v>
      </c>
      <c r="Y20" s="9"/>
      <c r="Z20" s="9"/>
      <c r="AA20" s="10">
        <f t="shared" si="1"/>
        <v>107.06</v>
      </c>
      <c r="AB20" s="29" t="s">
        <v>45</v>
      </c>
      <c r="AC20" s="29">
        <v>8.35</v>
      </c>
      <c r="AD20" s="12"/>
    </row>
    <row r="21" customHeight="1" spans="1:30">
      <c r="A21" s="4">
        <v>54946809</v>
      </c>
      <c r="B21" s="5" t="s">
        <v>50</v>
      </c>
      <c r="C21" s="5" t="s">
        <v>28</v>
      </c>
      <c r="D21" s="6">
        <v>46101.5625</v>
      </c>
      <c r="E21" s="6">
        <v>46104.6458333333</v>
      </c>
      <c r="F21" s="5" t="s">
        <v>29</v>
      </c>
      <c r="G21" s="4">
        <v>25142</v>
      </c>
      <c r="H21" s="4">
        <v>25364</v>
      </c>
      <c r="I21" s="7">
        <v>199.8</v>
      </c>
      <c r="J21" s="7">
        <v>0</v>
      </c>
      <c r="K21" s="8">
        <v>-9.99</v>
      </c>
      <c r="L21" s="7">
        <v>0</v>
      </c>
      <c r="M21" s="7">
        <v>0</v>
      </c>
      <c r="N21" s="7">
        <v>0</v>
      </c>
      <c r="O21" s="8">
        <v>-19.98</v>
      </c>
      <c r="P21" s="7">
        <v>27</v>
      </c>
      <c r="Q21" s="7">
        <v>0</v>
      </c>
      <c r="R21" s="7">
        <v>0</v>
      </c>
      <c r="S21" s="7">
        <v>8.7</v>
      </c>
      <c r="T21" s="7">
        <v>0</v>
      </c>
      <c r="U21" s="7">
        <v>205.53</v>
      </c>
      <c r="V21" s="9">
        <v>20</v>
      </c>
      <c r="W21" s="9">
        <v>10</v>
      </c>
      <c r="X21" s="9">
        <f t="shared" si="0"/>
        <v>50.949</v>
      </c>
      <c r="Y21" s="9"/>
      <c r="Z21" s="9"/>
      <c r="AA21" s="10">
        <f t="shared" si="1"/>
        <v>88.881</v>
      </c>
      <c r="AB21" s="29" t="s">
        <v>51</v>
      </c>
      <c r="AC21" s="29">
        <v>40</v>
      </c>
      <c r="AD21" s="12"/>
    </row>
    <row r="22" customHeight="1" spans="1:30">
      <c r="A22" s="4">
        <v>55150559</v>
      </c>
      <c r="B22" s="5" t="s">
        <v>52</v>
      </c>
      <c r="C22" s="5" t="s">
        <v>28</v>
      </c>
      <c r="D22" s="6">
        <v>46105.8125</v>
      </c>
      <c r="E22" s="6">
        <v>46107.4375</v>
      </c>
      <c r="F22" s="5" t="s">
        <v>29</v>
      </c>
      <c r="G22" s="4">
        <v>25429</v>
      </c>
      <c r="H22" s="5">
        <v>25686</v>
      </c>
      <c r="I22" s="7">
        <v>83.7</v>
      </c>
      <c r="J22" s="7">
        <v>0</v>
      </c>
      <c r="K22" s="7">
        <v>0</v>
      </c>
      <c r="L22" s="7">
        <v>0</v>
      </c>
      <c r="M22" s="7">
        <v>0</v>
      </c>
      <c r="N22" s="7">
        <v>0</v>
      </c>
      <c r="O22" s="8">
        <v>-8.37</v>
      </c>
      <c r="P22" s="7">
        <v>0</v>
      </c>
      <c r="Q22" s="7">
        <v>0</v>
      </c>
      <c r="R22" s="7">
        <v>27</v>
      </c>
      <c r="S22" s="7">
        <v>0</v>
      </c>
      <c r="T22" s="7">
        <v>0</v>
      </c>
      <c r="U22" s="7">
        <v>102.33</v>
      </c>
      <c r="V22" s="9">
        <v>20</v>
      </c>
      <c r="W22" s="9">
        <v>10</v>
      </c>
      <c r="X22" s="9">
        <f t="shared" si="0"/>
        <v>22.599</v>
      </c>
      <c r="Y22" s="9">
        <f>2700-2500</f>
        <v>200</v>
      </c>
      <c r="Z22" s="9"/>
      <c r="AA22" s="10">
        <f t="shared" si="1"/>
        <v>-177.269</v>
      </c>
      <c r="AB22" s="29" t="s">
        <v>53</v>
      </c>
      <c r="AC22" s="29">
        <v>92.09</v>
      </c>
      <c r="AD22" s="30" t="s">
        <v>54</v>
      </c>
    </row>
    <row r="23" customHeight="1" spans="1:30">
      <c r="A23" s="4">
        <v>55480012</v>
      </c>
      <c r="B23" s="5" t="s">
        <v>36</v>
      </c>
      <c r="C23" s="5" t="s">
        <v>28</v>
      </c>
      <c r="D23" s="6">
        <v>46111.9166666667</v>
      </c>
      <c r="E23" s="6">
        <v>46113.8333333333</v>
      </c>
      <c r="F23" s="5" t="s">
        <v>32</v>
      </c>
      <c r="G23" s="5"/>
      <c r="H23" s="5"/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9">
        <v>0</v>
      </c>
      <c r="W23" s="9">
        <v>0</v>
      </c>
      <c r="X23" s="9">
        <f t="shared" si="0"/>
        <v>0</v>
      </c>
      <c r="Y23" s="9"/>
      <c r="Z23" s="9"/>
      <c r="AA23" s="10">
        <f t="shared" si="1"/>
        <v>0</v>
      </c>
      <c r="AB23" s="13" t="s">
        <v>41</v>
      </c>
      <c r="AC23" s="14">
        <f>SUM(AA20:AA23)-SUM(AC20:AC22)</f>
        <v>-121.768</v>
      </c>
      <c r="AD23" s="31">
        <f>SUM(AC14+AC19+AC23)</f>
        <v>1357.688</v>
      </c>
    </row>
    <row r="24" customHeight="1" spans="1:30">
      <c r="A24" s="16">
        <v>56043455</v>
      </c>
      <c r="B24" s="17" t="s">
        <v>55</v>
      </c>
      <c r="C24" s="17" t="s">
        <v>28</v>
      </c>
      <c r="D24" s="18">
        <v>46123.375</v>
      </c>
      <c r="E24" s="18">
        <v>46126.375</v>
      </c>
      <c r="F24" s="17" t="s">
        <v>56</v>
      </c>
      <c r="G24" s="17"/>
      <c r="H24" s="17"/>
      <c r="I24" s="19">
        <v>0</v>
      </c>
      <c r="J24" s="19">
        <v>0</v>
      </c>
      <c r="K24" s="19">
        <v>0</v>
      </c>
      <c r="L24" s="19">
        <v>0</v>
      </c>
      <c r="M24" s="19">
        <v>0</v>
      </c>
      <c r="N24" s="19">
        <v>0</v>
      </c>
      <c r="O24" s="19">
        <v>0</v>
      </c>
      <c r="P24" s="19">
        <v>0</v>
      </c>
      <c r="Q24" s="19">
        <v>0</v>
      </c>
      <c r="R24" s="19">
        <v>0</v>
      </c>
      <c r="S24" s="19">
        <v>0</v>
      </c>
      <c r="T24" s="19">
        <v>0</v>
      </c>
      <c r="U24" s="19">
        <v>0</v>
      </c>
      <c r="V24" s="21">
        <v>0</v>
      </c>
      <c r="W24" s="21">
        <v>0</v>
      </c>
      <c r="X24" s="21">
        <f t="shared" si="0"/>
        <v>0</v>
      </c>
      <c r="Y24" s="21"/>
      <c r="Z24" s="21"/>
      <c r="AA24" s="22">
        <f t="shared" si="1"/>
        <v>0</v>
      </c>
      <c r="AB24" s="23"/>
      <c r="AC24" s="23"/>
      <c r="AD24" s="23"/>
    </row>
    <row r="25" customHeight="1" spans="1:30">
      <c r="A25" s="16">
        <v>55451127</v>
      </c>
      <c r="B25" s="17" t="s">
        <v>57</v>
      </c>
      <c r="C25" s="17" t="s">
        <v>28</v>
      </c>
      <c r="D25" s="18">
        <v>46129.375</v>
      </c>
      <c r="E25" s="18">
        <v>46135.3125</v>
      </c>
      <c r="F25" s="17" t="s">
        <v>32</v>
      </c>
      <c r="G25" s="17"/>
      <c r="H25" s="17"/>
      <c r="I25" s="19">
        <v>0</v>
      </c>
      <c r="J25" s="19">
        <v>0</v>
      </c>
      <c r="K25" s="19">
        <v>0</v>
      </c>
      <c r="L25" s="19">
        <v>0</v>
      </c>
      <c r="M25" s="19">
        <v>0</v>
      </c>
      <c r="N25" s="19">
        <v>0</v>
      </c>
      <c r="O25" s="19">
        <v>0</v>
      </c>
      <c r="P25" s="19">
        <v>0</v>
      </c>
      <c r="Q25" s="19">
        <v>0</v>
      </c>
      <c r="R25" s="19">
        <v>0</v>
      </c>
      <c r="S25" s="19">
        <v>0</v>
      </c>
      <c r="T25" s="19">
        <v>0</v>
      </c>
      <c r="U25" s="19">
        <v>0</v>
      </c>
      <c r="V25" s="21">
        <v>0</v>
      </c>
      <c r="W25" s="21">
        <v>0</v>
      </c>
      <c r="X25" s="21">
        <f t="shared" si="0"/>
        <v>0</v>
      </c>
      <c r="Y25" s="21"/>
      <c r="Z25" s="21"/>
      <c r="AA25" s="22">
        <f t="shared" si="1"/>
        <v>0</v>
      </c>
      <c r="AB25" s="24" t="s">
        <v>45</v>
      </c>
      <c r="AC25" s="24">
        <v>8.35</v>
      </c>
      <c r="AD25" s="25"/>
    </row>
    <row r="26" customHeight="1" spans="1:30">
      <c r="A26" s="16">
        <v>56416128</v>
      </c>
      <c r="B26" s="17" t="s">
        <v>58</v>
      </c>
      <c r="C26" s="17" t="s">
        <v>28</v>
      </c>
      <c r="D26" s="18">
        <v>46136.4166666667</v>
      </c>
      <c r="E26" s="18">
        <v>46138.7708333333</v>
      </c>
      <c r="F26" s="17" t="s">
        <v>29</v>
      </c>
      <c r="G26" s="16">
        <v>25686</v>
      </c>
      <c r="H26" s="16">
        <v>26165</v>
      </c>
      <c r="I26" s="19">
        <v>137.7</v>
      </c>
      <c r="J26" s="19">
        <v>0</v>
      </c>
      <c r="K26" s="20">
        <v>-6.88</v>
      </c>
      <c r="L26" s="19">
        <v>0</v>
      </c>
      <c r="M26" s="19">
        <v>0</v>
      </c>
      <c r="N26" s="19">
        <v>0</v>
      </c>
      <c r="O26" s="19">
        <v>0</v>
      </c>
      <c r="P26" s="19">
        <v>27</v>
      </c>
      <c r="Q26" s="19">
        <v>0</v>
      </c>
      <c r="R26" s="19">
        <v>0</v>
      </c>
      <c r="S26" s="19">
        <v>0</v>
      </c>
      <c r="T26" s="19">
        <v>0</v>
      </c>
      <c r="U26" s="19">
        <v>157.82</v>
      </c>
      <c r="V26" s="21">
        <v>20</v>
      </c>
      <c r="W26" s="21">
        <v>10</v>
      </c>
      <c r="X26" s="21">
        <f t="shared" si="0"/>
        <v>39.246</v>
      </c>
      <c r="Y26" s="21"/>
      <c r="Z26" s="21"/>
      <c r="AA26" s="22">
        <f t="shared" si="1"/>
        <v>61.574</v>
      </c>
      <c r="AB26" s="26" t="s">
        <v>41</v>
      </c>
      <c r="AC26" s="32">
        <f>SUM(AA24:AA26)-AC25</f>
        <v>53.224</v>
      </c>
      <c r="AD26" s="33"/>
    </row>
    <row r="27" customHeight="1" spans="1:30">
      <c r="A27" s="4">
        <v>56563892</v>
      </c>
      <c r="B27" s="5" t="s">
        <v>59</v>
      </c>
      <c r="C27" s="5" t="s">
        <v>28</v>
      </c>
      <c r="D27" s="6">
        <v>46141.375</v>
      </c>
      <c r="E27" s="6">
        <v>46146.5</v>
      </c>
      <c r="F27" s="5" t="s">
        <v>29</v>
      </c>
      <c r="G27" s="4">
        <v>26168</v>
      </c>
      <c r="H27" s="4">
        <v>26591</v>
      </c>
      <c r="I27" s="7">
        <v>271.8</v>
      </c>
      <c r="J27" s="7">
        <v>0</v>
      </c>
      <c r="K27" s="8">
        <v>-13.59</v>
      </c>
      <c r="L27" s="7">
        <v>0</v>
      </c>
      <c r="M27" s="7">
        <v>0</v>
      </c>
      <c r="N27" s="7">
        <v>0</v>
      </c>
      <c r="O27" s="7">
        <v>0</v>
      </c>
      <c r="P27" s="7">
        <v>27</v>
      </c>
      <c r="Q27" s="7">
        <v>0</v>
      </c>
      <c r="R27" s="7">
        <v>0</v>
      </c>
      <c r="S27" s="7">
        <v>0</v>
      </c>
      <c r="T27" s="7">
        <v>0</v>
      </c>
      <c r="U27" s="7">
        <v>285.21</v>
      </c>
      <c r="V27" s="9">
        <v>20</v>
      </c>
      <c r="W27" s="9">
        <v>10</v>
      </c>
      <c r="X27" s="9">
        <f t="shared" si="0"/>
        <v>77.463</v>
      </c>
      <c r="Y27" s="9"/>
      <c r="Z27" s="9"/>
      <c r="AA27" s="10">
        <f t="shared" si="1"/>
        <v>150.747</v>
      </c>
      <c r="AB27" s="11"/>
      <c r="AC27" s="11"/>
      <c r="AD27" s="11"/>
    </row>
    <row r="28" customHeight="1" spans="1:30">
      <c r="A28" s="4">
        <v>55271537</v>
      </c>
      <c r="B28" s="5" t="s">
        <v>60</v>
      </c>
      <c r="C28" s="5" t="s">
        <v>28</v>
      </c>
      <c r="D28" s="6">
        <v>46149.7083333333</v>
      </c>
      <c r="E28" s="6">
        <v>46151.7083333333</v>
      </c>
      <c r="F28" s="5" t="s">
        <v>32</v>
      </c>
      <c r="G28" s="5"/>
      <c r="H28" s="5"/>
      <c r="I28" s="7">
        <v>0</v>
      </c>
      <c r="J28" s="7">
        <v>0</v>
      </c>
      <c r="K28" s="7">
        <v>0</v>
      </c>
      <c r="L28" s="7">
        <v>0</v>
      </c>
      <c r="M28" s="7">
        <v>0</v>
      </c>
      <c r="N28" s="7">
        <v>0</v>
      </c>
      <c r="O28" s="7">
        <v>0</v>
      </c>
      <c r="P28" s="7">
        <v>0</v>
      </c>
      <c r="Q28" s="7">
        <v>0</v>
      </c>
      <c r="R28" s="7">
        <v>0</v>
      </c>
      <c r="S28" s="7">
        <v>0</v>
      </c>
      <c r="T28" s="7">
        <v>0</v>
      </c>
      <c r="U28" s="7">
        <v>0</v>
      </c>
      <c r="V28" s="9">
        <v>0</v>
      </c>
      <c r="W28" s="9">
        <v>0</v>
      </c>
      <c r="X28" s="9">
        <f t="shared" si="0"/>
        <v>0</v>
      </c>
      <c r="Y28" s="9"/>
      <c r="Z28" s="9"/>
      <c r="AA28" s="10">
        <f t="shared" si="1"/>
        <v>0</v>
      </c>
      <c r="AB28" s="29" t="s">
        <v>45</v>
      </c>
      <c r="AC28" s="29">
        <v>8.35</v>
      </c>
      <c r="AD28" s="12"/>
    </row>
    <row r="29" customHeight="1" spans="1:30">
      <c r="A29" s="4">
        <v>56398909</v>
      </c>
      <c r="B29" s="5" t="s">
        <v>61</v>
      </c>
      <c r="C29" s="5" t="s">
        <v>28</v>
      </c>
      <c r="D29" s="6">
        <v>46162.8958333333</v>
      </c>
      <c r="E29" s="6">
        <v>46169.4166666667</v>
      </c>
      <c r="F29" s="5" t="s">
        <v>29</v>
      </c>
      <c r="G29" s="4">
        <v>26597</v>
      </c>
      <c r="H29" s="4">
        <v>27449</v>
      </c>
      <c r="I29" s="7">
        <v>422</v>
      </c>
      <c r="J29" s="7">
        <v>0</v>
      </c>
      <c r="K29" s="7">
        <v>0</v>
      </c>
      <c r="L29" s="8">
        <v>-42.2</v>
      </c>
      <c r="M29" s="7">
        <v>0</v>
      </c>
      <c r="N29" s="7">
        <v>0</v>
      </c>
      <c r="O29" s="8">
        <v>-37.98</v>
      </c>
      <c r="P29" s="7">
        <v>27</v>
      </c>
      <c r="Q29" s="7">
        <v>0</v>
      </c>
      <c r="R29" s="7">
        <v>0</v>
      </c>
      <c r="S29" s="7">
        <v>0</v>
      </c>
      <c r="T29" s="7">
        <v>0</v>
      </c>
      <c r="U29" s="7">
        <v>368.82</v>
      </c>
      <c r="V29" s="9">
        <v>20</v>
      </c>
      <c r="W29" s="9">
        <v>10</v>
      </c>
      <c r="X29" s="9">
        <f t="shared" si="0"/>
        <v>102.546</v>
      </c>
      <c r="Y29" s="9">
        <v>430</v>
      </c>
      <c r="Z29" s="9"/>
      <c r="AA29" s="10">
        <f t="shared" si="1"/>
        <v>-220.726</v>
      </c>
      <c r="AB29" s="29" t="s">
        <v>62</v>
      </c>
      <c r="AC29" s="29">
        <v>24.99</v>
      </c>
      <c r="AD29" s="12"/>
    </row>
    <row r="30" customHeight="1" spans="1:30">
      <c r="A30" s="34">
        <v>53551954</v>
      </c>
      <c r="B30" s="35" t="s">
        <v>63</v>
      </c>
      <c r="C30" s="35" t="s">
        <v>28</v>
      </c>
      <c r="D30" s="36">
        <v>46170.5</v>
      </c>
      <c r="E30" s="36">
        <v>46173.75</v>
      </c>
      <c r="F30" s="35" t="s">
        <v>29</v>
      </c>
      <c r="G30" s="34">
        <v>27465</v>
      </c>
      <c r="H30" s="34">
        <v>27900</v>
      </c>
      <c r="I30" s="37">
        <v>256.5</v>
      </c>
      <c r="J30" s="37">
        <v>0</v>
      </c>
      <c r="K30" s="38">
        <v>-12.82</v>
      </c>
      <c r="L30" s="37">
        <v>0</v>
      </c>
      <c r="M30" s="37">
        <v>0</v>
      </c>
      <c r="N30" s="37">
        <v>0</v>
      </c>
      <c r="O30" s="37">
        <v>0</v>
      </c>
      <c r="P30" s="37">
        <v>27</v>
      </c>
      <c r="Q30" s="37">
        <v>0</v>
      </c>
      <c r="R30" s="37">
        <v>27</v>
      </c>
      <c r="S30" s="37">
        <v>2.8</v>
      </c>
      <c r="T30" s="37">
        <v>0</v>
      </c>
      <c r="U30" s="37">
        <v>300.48</v>
      </c>
      <c r="V30" s="9">
        <v>20</v>
      </c>
      <c r="W30" s="9">
        <v>10</v>
      </c>
      <c r="X30" s="9">
        <f t="shared" si="0"/>
        <v>73.104</v>
      </c>
      <c r="Y30" s="9"/>
      <c r="Z30" s="9"/>
      <c r="AA30" s="10">
        <f t="shared" si="1"/>
        <v>140.576</v>
      </c>
      <c r="AB30" s="13" t="s">
        <v>41</v>
      </c>
      <c r="AC30" s="14">
        <f>SUM(AA27:AA30)-SUM(AC28:AC29)</f>
        <v>37.257</v>
      </c>
      <c r="AD30" s="39"/>
    </row>
    <row r="31" customHeight="1" spans="1:30">
      <c r="A31" s="34">
        <v>56693654</v>
      </c>
      <c r="B31" s="35" t="s">
        <v>64</v>
      </c>
      <c r="C31" s="35" t="s">
        <v>28</v>
      </c>
      <c r="D31" s="36">
        <v>46177.4791666667</v>
      </c>
      <c r="E31" s="36">
        <v>46181.2708333333</v>
      </c>
      <c r="F31" s="35" t="s">
        <v>29</v>
      </c>
      <c r="G31" s="34">
        <v>27906</v>
      </c>
      <c r="H31" s="34">
        <v>28597</v>
      </c>
      <c r="I31" s="37">
        <v>296</v>
      </c>
      <c r="J31" s="37">
        <v>0</v>
      </c>
      <c r="K31" s="38">
        <v>-14.8</v>
      </c>
      <c r="L31" s="37">
        <v>0</v>
      </c>
      <c r="M31" s="37">
        <v>0</v>
      </c>
      <c r="N31" s="37">
        <v>0</v>
      </c>
      <c r="O31" s="38">
        <v>-28.12</v>
      </c>
      <c r="P31" s="37">
        <v>27</v>
      </c>
      <c r="Q31" s="37">
        <v>0</v>
      </c>
      <c r="R31" s="37">
        <v>0</v>
      </c>
      <c r="S31" s="37">
        <v>0</v>
      </c>
      <c r="T31" s="37">
        <v>0</v>
      </c>
      <c r="U31" s="37">
        <v>280.08</v>
      </c>
      <c r="V31" s="21">
        <v>20</v>
      </c>
      <c r="W31" s="21">
        <v>10</v>
      </c>
      <c r="X31" s="21">
        <f t="shared" si="0"/>
        <v>75.924</v>
      </c>
      <c r="Y31" s="21"/>
      <c r="Z31" s="21"/>
      <c r="AA31" s="22">
        <f t="shared" si="1"/>
        <v>147.156</v>
      </c>
      <c r="AB31" s="22"/>
      <c r="AC31" s="23"/>
      <c r="AD31" s="23"/>
    </row>
    <row r="32" customHeight="1" spans="1:30">
      <c r="A32" s="34">
        <v>56413841</v>
      </c>
      <c r="B32" s="35" t="s">
        <v>65</v>
      </c>
      <c r="C32" s="35" t="s">
        <v>28</v>
      </c>
      <c r="D32" s="36">
        <v>46185.2708333333</v>
      </c>
      <c r="E32" s="36">
        <v>46187.9583333333</v>
      </c>
      <c r="F32" s="35" t="s">
        <v>29</v>
      </c>
      <c r="G32" s="34">
        <v>28599</v>
      </c>
      <c r="H32" s="34">
        <v>29270</v>
      </c>
      <c r="I32" s="37">
        <v>259</v>
      </c>
      <c r="J32" s="37">
        <v>0</v>
      </c>
      <c r="K32" s="38">
        <v>-12.95</v>
      </c>
      <c r="L32" s="37">
        <v>0</v>
      </c>
      <c r="M32" s="37">
        <v>0</v>
      </c>
      <c r="N32" s="37">
        <v>0</v>
      </c>
      <c r="O32" s="37">
        <v>0</v>
      </c>
      <c r="P32" s="37">
        <v>27</v>
      </c>
      <c r="Q32" s="37">
        <v>26.2</v>
      </c>
      <c r="R32" s="37">
        <v>0</v>
      </c>
      <c r="S32" s="37">
        <v>0</v>
      </c>
      <c r="T32" s="37">
        <v>0</v>
      </c>
      <c r="U32" s="37">
        <v>299.25</v>
      </c>
      <c r="V32" s="21">
        <v>20</v>
      </c>
      <c r="W32" s="21">
        <v>10</v>
      </c>
      <c r="X32" s="21">
        <f t="shared" si="0"/>
        <v>81.675</v>
      </c>
      <c r="Y32" s="21"/>
      <c r="Z32" s="21"/>
      <c r="AA32" s="22">
        <f t="shared" si="1"/>
        <v>160.575</v>
      </c>
      <c r="AB32" s="22"/>
      <c r="AC32" s="23"/>
      <c r="AD32" s="23"/>
    </row>
    <row r="33" customHeight="1" spans="1:30">
      <c r="A33" s="34">
        <v>58272888</v>
      </c>
      <c r="B33" s="35" t="s">
        <v>66</v>
      </c>
      <c r="C33" s="35" t="s">
        <v>28</v>
      </c>
      <c r="D33" s="36">
        <v>46188.625</v>
      </c>
      <c r="E33" s="36">
        <v>46191.875</v>
      </c>
      <c r="F33" s="35" t="s">
        <v>29</v>
      </c>
      <c r="G33" s="34">
        <v>29270</v>
      </c>
      <c r="H33" s="34">
        <v>29672</v>
      </c>
      <c r="I33" s="37">
        <v>228.65</v>
      </c>
      <c r="J33" s="37">
        <v>0</v>
      </c>
      <c r="K33" s="38">
        <v>-11.43</v>
      </c>
      <c r="L33" s="37">
        <v>0</v>
      </c>
      <c r="M33" s="37">
        <v>0</v>
      </c>
      <c r="N33" s="37">
        <v>0</v>
      </c>
      <c r="O33" s="37">
        <v>0</v>
      </c>
      <c r="P33" s="37">
        <v>27</v>
      </c>
      <c r="Q33" s="37">
        <v>0</v>
      </c>
      <c r="R33" s="37">
        <v>40.5</v>
      </c>
      <c r="S33" s="37">
        <v>0</v>
      </c>
      <c r="T33" s="37">
        <v>0</v>
      </c>
      <c r="U33" s="37">
        <v>284.72</v>
      </c>
      <c r="V33" s="21">
        <v>20</v>
      </c>
      <c r="W33" s="21">
        <v>10</v>
      </c>
      <c r="X33" s="21">
        <f t="shared" si="0"/>
        <v>65.166</v>
      </c>
      <c r="Y33" s="21"/>
      <c r="Z33" s="21"/>
      <c r="AA33" s="22">
        <f t="shared" si="1"/>
        <v>122.054</v>
      </c>
      <c r="AB33" s="22"/>
      <c r="AC33" s="23"/>
      <c r="AD33" s="23"/>
    </row>
    <row r="34" customHeight="1" spans="1:30">
      <c r="A34" s="34">
        <v>56653233</v>
      </c>
      <c r="B34" s="35" t="s">
        <v>67</v>
      </c>
      <c r="C34" s="35" t="s">
        <v>28</v>
      </c>
      <c r="D34" s="36">
        <v>46192.2916666667</v>
      </c>
      <c r="E34" s="36">
        <v>46197.4583333333</v>
      </c>
      <c r="F34" s="35" t="s">
        <v>29</v>
      </c>
      <c r="G34" s="34">
        <v>29672</v>
      </c>
      <c r="H34" s="34">
        <v>30143</v>
      </c>
      <c r="I34" s="37">
        <v>525</v>
      </c>
      <c r="J34" s="37">
        <v>0</v>
      </c>
      <c r="K34" s="38">
        <v>-26.25</v>
      </c>
      <c r="L34" s="37">
        <v>0</v>
      </c>
      <c r="M34" s="37">
        <v>0</v>
      </c>
      <c r="N34" s="37">
        <v>0</v>
      </c>
      <c r="O34" s="38">
        <v>-49.88</v>
      </c>
      <c r="P34" s="37">
        <v>27</v>
      </c>
      <c r="Q34" s="37">
        <v>0</v>
      </c>
      <c r="R34" s="37">
        <v>0</v>
      </c>
      <c r="S34" s="37">
        <v>0</v>
      </c>
      <c r="T34" s="37">
        <v>0</v>
      </c>
      <c r="U34" s="37">
        <v>475.87</v>
      </c>
      <c r="V34" s="21">
        <v>0</v>
      </c>
      <c r="W34" s="21">
        <v>0</v>
      </c>
      <c r="X34" s="21">
        <f t="shared" si="0"/>
        <v>134.661</v>
      </c>
      <c r="Y34" s="21"/>
      <c r="Z34" s="21"/>
      <c r="AA34" s="22">
        <f t="shared" si="1"/>
        <v>314.209</v>
      </c>
      <c r="AB34" s="22"/>
      <c r="AC34" s="23"/>
      <c r="AD34" s="23"/>
    </row>
    <row r="35" customHeight="1" spans="1:30">
      <c r="A35" s="34">
        <v>56453779</v>
      </c>
      <c r="B35" s="35" t="s">
        <v>68</v>
      </c>
      <c r="C35" s="35" t="s">
        <v>28</v>
      </c>
      <c r="D35" s="36">
        <v>46193.4375</v>
      </c>
      <c r="E35" s="36">
        <v>46197.625</v>
      </c>
      <c r="F35" s="35" t="s">
        <v>32</v>
      </c>
      <c r="G35" s="35"/>
      <c r="H35" s="35"/>
      <c r="I35" s="37">
        <v>0</v>
      </c>
      <c r="J35" s="37">
        <v>0</v>
      </c>
      <c r="K35" s="37">
        <v>0</v>
      </c>
      <c r="L35" s="37">
        <v>0</v>
      </c>
      <c r="M35" s="37">
        <v>0</v>
      </c>
      <c r="N35" s="37">
        <v>0</v>
      </c>
      <c r="O35" s="37">
        <v>0</v>
      </c>
      <c r="P35" s="37">
        <v>0</v>
      </c>
      <c r="Q35" s="37">
        <v>0</v>
      </c>
      <c r="R35" s="37">
        <v>0</v>
      </c>
      <c r="S35" s="37">
        <v>0</v>
      </c>
      <c r="T35" s="37">
        <v>0</v>
      </c>
      <c r="U35" s="37">
        <v>0</v>
      </c>
      <c r="V35" s="21">
        <v>0</v>
      </c>
      <c r="W35" s="21">
        <v>0</v>
      </c>
      <c r="X35" s="21">
        <f t="shared" si="0"/>
        <v>0</v>
      </c>
      <c r="Y35" s="21"/>
      <c r="Z35" s="21"/>
      <c r="AA35" s="22">
        <f t="shared" si="1"/>
        <v>0</v>
      </c>
      <c r="AB35" s="40" t="s">
        <v>45</v>
      </c>
      <c r="AC35" s="24">
        <v>8.35</v>
      </c>
      <c r="AD35" s="30" t="s">
        <v>69</v>
      </c>
    </row>
    <row r="36" customHeight="1" spans="1:30">
      <c r="A36" s="34">
        <v>55389678</v>
      </c>
      <c r="B36" s="35" t="s">
        <v>70</v>
      </c>
      <c r="C36" s="35" t="s">
        <v>28</v>
      </c>
      <c r="D36" s="36">
        <v>46198.875</v>
      </c>
      <c r="E36" s="36">
        <v>46202.7916666667</v>
      </c>
      <c r="F36" s="35" t="s">
        <v>29</v>
      </c>
      <c r="G36" s="34">
        <v>30158</v>
      </c>
      <c r="H36" s="34">
        <v>30417</v>
      </c>
      <c r="I36" s="37">
        <v>359.1</v>
      </c>
      <c r="J36" s="37">
        <v>0</v>
      </c>
      <c r="K36" s="38">
        <v>-17.96</v>
      </c>
      <c r="L36" s="37">
        <v>0</v>
      </c>
      <c r="M36" s="37">
        <v>0</v>
      </c>
      <c r="N36" s="37">
        <v>0</v>
      </c>
      <c r="O36" s="38">
        <v>-35.91</v>
      </c>
      <c r="P36" s="37">
        <v>27</v>
      </c>
      <c r="Q36" s="37">
        <v>0</v>
      </c>
      <c r="R36" s="37">
        <v>0</v>
      </c>
      <c r="S36" s="37">
        <v>0</v>
      </c>
      <c r="T36" s="37">
        <v>0</v>
      </c>
      <c r="U36" s="37">
        <v>332.23</v>
      </c>
      <c r="V36" s="21">
        <v>20</v>
      </c>
      <c r="W36" s="21">
        <v>10</v>
      </c>
      <c r="X36" s="21">
        <f t="shared" si="0"/>
        <v>91.569</v>
      </c>
      <c r="Y36" s="21"/>
      <c r="Z36" s="21"/>
      <c r="AA36" s="22">
        <f t="shared" si="1"/>
        <v>183.661</v>
      </c>
      <c r="AB36" s="40" t="s">
        <v>41</v>
      </c>
      <c r="AC36" s="41">
        <f>SUM(AA31:AA36)-AC35</f>
        <v>919.305</v>
      </c>
      <c r="AD36" s="42">
        <f>SUM(AC26+AC30+AC36)</f>
        <v>1009.786</v>
      </c>
    </row>
    <row r="37" customHeight="1" spans="1:30">
      <c r="A37" s="4">
        <v>58352788</v>
      </c>
      <c r="B37" s="5" t="s">
        <v>71</v>
      </c>
      <c r="C37" s="5" t="s">
        <v>28</v>
      </c>
      <c r="D37" s="6">
        <v>46205.9583333333</v>
      </c>
      <c r="E37" s="6">
        <v>46211.3333333333</v>
      </c>
      <c r="F37" s="5" t="s">
        <v>72</v>
      </c>
      <c r="G37" s="4">
        <v>30417</v>
      </c>
      <c r="H37" s="5"/>
      <c r="I37" s="7">
        <v>511.1</v>
      </c>
      <c r="J37" s="7">
        <v>0</v>
      </c>
      <c r="K37" s="8">
        <v>-25.56</v>
      </c>
      <c r="L37" s="7">
        <v>0</v>
      </c>
      <c r="M37" s="7">
        <v>0</v>
      </c>
      <c r="N37" s="7">
        <v>0</v>
      </c>
      <c r="O37" s="7">
        <v>0</v>
      </c>
      <c r="P37" s="7">
        <v>27</v>
      </c>
      <c r="Q37" s="7">
        <v>0</v>
      </c>
      <c r="R37" s="7">
        <v>0</v>
      </c>
      <c r="S37" s="7">
        <v>0</v>
      </c>
      <c r="T37" s="7">
        <v>0</v>
      </c>
      <c r="U37" s="7">
        <v>512.54</v>
      </c>
      <c r="V37" s="9">
        <v>20</v>
      </c>
      <c r="W37" s="9">
        <v>10</v>
      </c>
      <c r="X37" s="9">
        <f t="shared" si="0"/>
        <v>145.662</v>
      </c>
      <c r="Y37" s="9"/>
      <c r="Z37" s="9"/>
      <c r="AA37" s="10">
        <f t="shared" si="1"/>
        <v>309.878</v>
      </c>
      <c r="AB37" s="10"/>
      <c r="AC37" s="11"/>
      <c r="AD37" s="11"/>
    </row>
    <row r="38" customHeight="1" spans="1:30">
      <c r="A38" s="4">
        <v>56441542</v>
      </c>
      <c r="B38" s="5" t="s">
        <v>73</v>
      </c>
      <c r="C38" s="5" t="s">
        <v>28</v>
      </c>
      <c r="D38" s="6">
        <v>46212.7916666667</v>
      </c>
      <c r="E38" s="6">
        <v>46215.2916666667</v>
      </c>
      <c r="F38" s="5" t="s">
        <v>74</v>
      </c>
      <c r="G38" s="5"/>
      <c r="H38" s="5"/>
      <c r="I38" s="7">
        <v>280</v>
      </c>
      <c r="J38" s="7">
        <v>0</v>
      </c>
      <c r="K38" s="8">
        <v>-14</v>
      </c>
      <c r="L38" s="7">
        <v>0</v>
      </c>
      <c r="M38" s="7">
        <v>0</v>
      </c>
      <c r="N38" s="7">
        <v>0</v>
      </c>
      <c r="O38" s="8">
        <v>-26.6</v>
      </c>
      <c r="P38" s="7">
        <v>27</v>
      </c>
      <c r="Q38" s="7">
        <v>0</v>
      </c>
      <c r="R38" s="7">
        <v>0</v>
      </c>
      <c r="S38" s="7">
        <v>0</v>
      </c>
      <c r="T38" s="7">
        <v>0</v>
      </c>
      <c r="U38" s="7">
        <v>266.4</v>
      </c>
      <c r="V38" s="9">
        <v>20</v>
      </c>
      <c r="W38" s="9">
        <v>10</v>
      </c>
      <c r="X38" s="9">
        <f t="shared" si="0"/>
        <v>71.82</v>
      </c>
      <c r="Y38" s="9"/>
      <c r="Z38" s="9"/>
      <c r="AA38" s="10">
        <f t="shared" si="1"/>
        <v>137.58</v>
      </c>
      <c r="AB38" s="10"/>
      <c r="AC38" s="11"/>
      <c r="AD38" s="11"/>
    </row>
    <row r="39" customHeight="1" spans="1:30">
      <c r="A39" s="4">
        <v>58900385</v>
      </c>
      <c r="B39" s="5" t="s">
        <v>75</v>
      </c>
      <c r="C39" s="5" t="s">
        <v>28</v>
      </c>
      <c r="D39" s="6">
        <v>46215.4583333333</v>
      </c>
      <c r="E39" s="6">
        <v>46220.7916666667</v>
      </c>
      <c r="F39" s="5" t="s">
        <v>74</v>
      </c>
      <c r="G39" s="5"/>
      <c r="H39" s="5"/>
      <c r="I39" s="7">
        <v>400.5</v>
      </c>
      <c r="J39" s="7">
        <v>0</v>
      </c>
      <c r="K39" s="8">
        <v>-20.02</v>
      </c>
      <c r="L39" s="7">
        <v>0</v>
      </c>
      <c r="M39" s="7">
        <v>0</v>
      </c>
      <c r="N39" s="7">
        <v>0</v>
      </c>
      <c r="O39" s="8">
        <v>-38.05</v>
      </c>
      <c r="P39" s="7">
        <v>27</v>
      </c>
      <c r="Q39" s="7">
        <v>0</v>
      </c>
      <c r="R39" s="7">
        <v>0</v>
      </c>
      <c r="S39" s="7">
        <v>0</v>
      </c>
      <c r="T39" s="7">
        <v>0</v>
      </c>
      <c r="U39" s="7">
        <v>369.43</v>
      </c>
      <c r="V39" s="9">
        <v>20</v>
      </c>
      <c r="W39" s="9">
        <v>10</v>
      </c>
      <c r="X39" s="9">
        <f t="shared" si="0"/>
        <v>102.729</v>
      </c>
      <c r="Y39" s="9"/>
      <c r="Z39" s="9"/>
      <c r="AA39" s="10">
        <f t="shared" si="1"/>
        <v>209.701</v>
      </c>
      <c r="AB39" s="10"/>
      <c r="AC39" s="11"/>
      <c r="AD39" s="11"/>
    </row>
    <row r="40" customHeight="1" spans="1:30">
      <c r="A40" s="4">
        <v>56446376</v>
      </c>
      <c r="B40" s="5" t="s">
        <v>76</v>
      </c>
      <c r="C40" s="5" t="s">
        <v>28</v>
      </c>
      <c r="D40" s="6">
        <v>46217.4583333333</v>
      </c>
      <c r="E40" s="6">
        <v>46224.3125</v>
      </c>
      <c r="F40" s="5" t="s">
        <v>32</v>
      </c>
      <c r="G40" s="5"/>
      <c r="H40" s="5"/>
      <c r="I40" s="7">
        <v>0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0</v>
      </c>
      <c r="U40" s="7">
        <v>0</v>
      </c>
      <c r="V40" s="9">
        <v>0</v>
      </c>
      <c r="W40" s="9">
        <v>0</v>
      </c>
      <c r="X40" s="9">
        <f t="shared" si="0"/>
        <v>0</v>
      </c>
      <c r="Y40" s="9"/>
      <c r="Z40" s="9"/>
      <c r="AA40" s="10">
        <f t="shared" si="1"/>
        <v>0</v>
      </c>
      <c r="AB40" s="10"/>
      <c r="AC40" s="11"/>
      <c r="AD40" s="11"/>
    </row>
    <row r="41" customHeight="1" spans="1:30">
      <c r="A41" s="4">
        <v>58872162</v>
      </c>
      <c r="B41" s="5" t="s">
        <v>77</v>
      </c>
      <c r="C41" s="5" t="s">
        <v>28</v>
      </c>
      <c r="D41" s="6">
        <v>46220.3541666667</v>
      </c>
      <c r="E41" s="6">
        <v>46223.3541666667</v>
      </c>
      <c r="F41" s="5" t="s">
        <v>32</v>
      </c>
      <c r="G41" s="5"/>
      <c r="H41" s="5"/>
      <c r="I41" s="7">
        <v>0</v>
      </c>
      <c r="J41" s="7">
        <v>0</v>
      </c>
      <c r="K41" s="7">
        <v>0</v>
      </c>
      <c r="L41" s="7">
        <v>0</v>
      </c>
      <c r="M41" s="7">
        <v>0</v>
      </c>
      <c r="N41" s="7">
        <v>0</v>
      </c>
      <c r="O41" s="7">
        <v>0</v>
      </c>
      <c r="P41" s="7">
        <v>0</v>
      </c>
      <c r="Q41" s="7">
        <v>0</v>
      </c>
      <c r="R41" s="7">
        <v>0</v>
      </c>
      <c r="S41" s="7">
        <v>0</v>
      </c>
      <c r="T41" s="7">
        <v>0</v>
      </c>
      <c r="U41" s="7">
        <v>0</v>
      </c>
      <c r="V41" s="11"/>
      <c r="W41" s="11"/>
      <c r="X41" s="11"/>
      <c r="Y41" s="11"/>
      <c r="Z41" s="11"/>
      <c r="AA41" s="11"/>
      <c r="AB41" s="11"/>
      <c r="AC41" s="11"/>
      <c r="AD41" s="11"/>
    </row>
    <row r="42" customHeight="1" spans="1:30">
      <c r="A42" s="4">
        <v>55126068</v>
      </c>
      <c r="B42" s="5" t="s">
        <v>78</v>
      </c>
      <c r="C42" s="5" t="s">
        <v>28</v>
      </c>
      <c r="D42" s="6">
        <v>46225.5208333333</v>
      </c>
      <c r="E42" s="6">
        <v>46242.4375</v>
      </c>
      <c r="F42" s="5" t="s">
        <v>74</v>
      </c>
      <c r="G42" s="5"/>
      <c r="H42" s="5"/>
      <c r="I42" s="7">
        <v>1800.9</v>
      </c>
      <c r="J42" s="7">
        <v>0</v>
      </c>
      <c r="K42" s="7">
        <v>0</v>
      </c>
      <c r="L42" s="7">
        <v>0</v>
      </c>
      <c r="M42" s="8">
        <v>-270.14</v>
      </c>
      <c r="N42" s="7">
        <v>0</v>
      </c>
      <c r="O42" s="7">
        <v>0</v>
      </c>
      <c r="P42" s="7">
        <v>27</v>
      </c>
      <c r="Q42" s="7">
        <v>0</v>
      </c>
      <c r="R42" s="7">
        <v>0</v>
      </c>
      <c r="S42" s="7">
        <v>0</v>
      </c>
      <c r="T42" s="7">
        <v>0</v>
      </c>
      <c r="U42" s="7">
        <v>1557.76</v>
      </c>
      <c r="V42" s="11"/>
      <c r="W42" s="11"/>
      <c r="X42" s="11"/>
      <c r="Y42" s="11"/>
      <c r="Z42" s="11"/>
      <c r="AA42" s="11"/>
      <c r="AB42" s="11"/>
      <c r="AC42" s="11"/>
      <c r="AD42" s="11"/>
    </row>
    <row r="43" customHeight="1" spans="1:30">
      <c r="A43" s="34">
        <v>58963002</v>
      </c>
      <c r="B43" s="35" t="s">
        <v>79</v>
      </c>
      <c r="C43" s="35" t="s">
        <v>28</v>
      </c>
      <c r="D43" s="36">
        <v>46243.7083333333</v>
      </c>
      <c r="E43" s="36">
        <v>46249.2916666667</v>
      </c>
      <c r="F43" s="35" t="s">
        <v>74</v>
      </c>
      <c r="G43" s="35"/>
      <c r="H43" s="35"/>
      <c r="I43" s="37">
        <v>467</v>
      </c>
      <c r="J43" s="37">
        <v>0</v>
      </c>
      <c r="K43" s="38">
        <v>-23.35</v>
      </c>
      <c r="L43" s="37">
        <v>0</v>
      </c>
      <c r="M43" s="37">
        <v>0</v>
      </c>
      <c r="N43" s="37">
        <v>0</v>
      </c>
      <c r="O43" s="38">
        <v>-44.36</v>
      </c>
      <c r="P43" s="37">
        <v>27</v>
      </c>
      <c r="Q43" s="37">
        <v>0</v>
      </c>
      <c r="R43" s="37">
        <v>0</v>
      </c>
      <c r="S43" s="37">
        <v>0</v>
      </c>
      <c r="T43" s="37">
        <v>0</v>
      </c>
      <c r="U43" s="37">
        <v>426.29</v>
      </c>
    </row>
    <row r="44" customHeight="1" spans="1:30">
      <c r="A44" s="34">
        <v>56688235</v>
      </c>
      <c r="B44" s="35" t="s">
        <v>80</v>
      </c>
      <c r="C44" s="35" t="s">
        <v>28</v>
      </c>
      <c r="D44" s="36">
        <v>46251.5833333333</v>
      </c>
      <c r="E44" s="36">
        <v>46255.5833333333</v>
      </c>
      <c r="F44" s="35" t="s">
        <v>74</v>
      </c>
      <c r="G44" s="35"/>
      <c r="H44" s="35"/>
      <c r="I44" s="37">
        <v>286</v>
      </c>
      <c r="J44" s="37">
        <v>0</v>
      </c>
      <c r="K44" s="38">
        <v>-14.3</v>
      </c>
      <c r="L44" s="37">
        <v>0</v>
      </c>
      <c r="M44" s="37">
        <v>0</v>
      </c>
      <c r="N44" s="37">
        <v>0</v>
      </c>
      <c r="O44" s="38">
        <v>-27.17</v>
      </c>
      <c r="P44" s="37">
        <v>27</v>
      </c>
      <c r="Q44" s="37">
        <v>0</v>
      </c>
      <c r="R44" s="37">
        <v>0</v>
      </c>
      <c r="S44" s="37">
        <v>0</v>
      </c>
      <c r="T44" s="37">
        <v>0</v>
      </c>
      <c r="U44" s="37">
        <v>271.53</v>
      </c>
    </row>
    <row r="45" customHeight="1" spans="1:30">
      <c r="A45" s="34">
        <v>55188029</v>
      </c>
      <c r="B45" s="35" t="s">
        <v>81</v>
      </c>
      <c r="C45" s="35" t="s">
        <v>28</v>
      </c>
      <c r="D45" s="36">
        <v>46263.5208333333</v>
      </c>
      <c r="E45" s="36">
        <v>46270.5208333333</v>
      </c>
      <c r="F45" s="35" t="s">
        <v>74</v>
      </c>
      <c r="G45" s="35"/>
      <c r="H45" s="35"/>
      <c r="I45" s="37">
        <v>449.1</v>
      </c>
      <c r="J45" s="37">
        <v>0</v>
      </c>
      <c r="K45" s="37">
        <v>0</v>
      </c>
      <c r="L45" s="38">
        <v>-44.91</v>
      </c>
      <c r="M45" s="37">
        <v>0</v>
      </c>
      <c r="N45" s="37">
        <v>0</v>
      </c>
      <c r="O45" s="38">
        <v>-44.91</v>
      </c>
      <c r="P45" s="37">
        <v>27</v>
      </c>
      <c r="Q45" s="37">
        <v>0</v>
      </c>
      <c r="R45" s="37">
        <v>0</v>
      </c>
      <c r="S45" s="37">
        <v>0</v>
      </c>
      <c r="T45" s="37">
        <v>0</v>
      </c>
      <c r="U45" s="37">
        <v>386.28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CRV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Ruidong Chen</cp:lastModifiedBy>
  <dcterms:created xsi:type="dcterms:W3CDTF">2026-09-17T00:04:35Z</dcterms:created>
  <dcterms:modified xsi:type="dcterms:W3CDTF">2026-09-17T00:04:58Z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6C38798A578C426BAB36085804F7B3AA_12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